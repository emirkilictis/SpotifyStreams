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Movers" sheetId="2" state="visible" r:id="rId2"/>
    <sheet name="Milestones" sheetId="3" state="visible" r:id="rId3"/>
    <sheet name="Kworb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0.0%"/>
    <numFmt numFmtId="166" formatCode="0.000"/>
    <numFmt numFmtId="167" formatCode="#,##0.0;(#,##0.0);&quot;-&quot;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808080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DB954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  <xf numFmtId="164" fontId="5" fillId="0" borderId="0" pivotButton="0" quotePrefix="0" xfId="0"/>
    <xf numFmtId="165" fontId="4" fillId="0" borderId="1" pivotButton="0" quotePrefix="0" xfId="0"/>
    <xf numFmtId="0" fontId="5" fillId="0" borderId="1" pivotButton="0" quotePrefix="0" xfId="0"/>
    <xf numFmtId="166" fontId="4" fillId="0" borderId="1" pivotButton="0" quotePrefix="0" xfId="0"/>
    <xf numFmtId="167" fontId="4" fillId="0" borderId="1" pivotButton="0" quotePrefix="0" xfId="0"/>
    <xf numFmtId="167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Weekly Gain by Artist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'Summary'!D4</f>
            </strRef>
          </tx>
          <spPr>
            <a:ln>
              <a:prstDash val="solid"/>
            </a:ln>
          </spPr>
          <cat>
            <numRef>
              <f>'Summary'!$A$5:$A$25</f>
            </numRef>
          </cat>
          <val>
            <numRef>
              <f>'Summary'!$D$5:$D$25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3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6" customWidth="1" min="3" max="3"/>
    <col width="14" customWidth="1" min="4" max="4"/>
    <col width="12" customWidth="1" min="5" max="5"/>
    <col width="14" customWidth="1" min="6" max="6"/>
    <col width="16" customWidth="1" min="7" max="7"/>
    <col width="12" customWidth="1" min="8" max="8"/>
    <col width="14" customWidth="1" min="9" max="9"/>
    <col width="14" customWidth="1" min="10" max="10"/>
  </cols>
  <sheetData>
    <row r="1">
      <c r="A1" s="1" t="inlineStr">
        <is>
          <t>Weekly Streams Report — Full-Disc Artists</t>
        </is>
      </c>
    </row>
    <row r="2">
      <c r="A2" s="2" t="inlineStr">
        <is>
          <t>Period: 2026-06-24 → 2026-07-01 (last 7 tracked days) · Source: SpotifyStreams DB (daily_streams_canonical), 2026-07-02</t>
        </is>
      </c>
    </row>
    <row r="4">
      <c r="A4" s="3" t="inlineStr">
        <is>
          <t>Artist</t>
        </is>
      </c>
      <c r="B4" s="3" t="inlineStr">
        <is>
          <t>Songs</t>
        </is>
      </c>
      <c r="C4" s="3" t="inlineStr">
        <is>
          <t>Total Streams</t>
        </is>
      </c>
      <c r="D4" s="3" t="inlineStr">
        <is>
          <t>Weekly Gain</t>
        </is>
      </c>
      <c r="E4" s="3" t="inlineStr">
        <is>
          <t>Avg Daily</t>
        </is>
      </c>
      <c r="F4" s="3" t="inlineStr">
        <is>
          <t>Milestones (wk)</t>
        </is>
      </c>
      <c r="G4" s="3" t="inlineStr">
        <is>
          <t>Monthly Listeners</t>
        </is>
      </c>
      <c r="H4" s="3" t="inlineStr">
        <is>
          <t>ML Δ (wk)</t>
        </is>
      </c>
      <c r="I4" s="3" t="inlineStr">
        <is>
          <t>Followers</t>
        </is>
      </c>
      <c r="J4" s="3" t="inlineStr">
        <is>
          <t>Followers Δ (wk)</t>
        </is>
      </c>
    </row>
    <row r="5">
      <c r="A5" s="4" t="inlineStr">
        <is>
          <t>Olivia Rodrigo</t>
        </is>
      </c>
      <c r="B5" s="5" t="n">
        <v>74</v>
      </c>
      <c r="C5" s="5" t="n">
        <v>28191287743</v>
      </c>
      <c r="D5" s="5" t="n">
        <v>294887697</v>
      </c>
      <c r="E5" s="5">
        <f>D5/7</f>
        <v/>
      </c>
      <c r="F5" s="5">
        <f>COUNTIF(Milestones!$A:$A,$A5)</f>
        <v/>
      </c>
      <c r="G5" s="5" t="n">
        <v>69858818</v>
      </c>
      <c r="H5" s="5" t="n">
        <v>1325015</v>
      </c>
      <c r="I5" s="5" t="n">
        <v>54804871</v>
      </c>
      <c r="J5" s="5" t="n">
        <v>186250</v>
      </c>
    </row>
    <row r="6">
      <c r="A6" s="4" t="inlineStr">
        <is>
          <t>Billie Eilish</t>
        </is>
      </c>
      <c r="B6" s="5" t="n">
        <v>79</v>
      </c>
      <c r="C6" s="5" t="n">
        <v>57750588521</v>
      </c>
      <c r="D6" s="5" t="n">
        <v>124404008</v>
      </c>
      <c r="E6" s="5">
        <f>D6/7</f>
        <v/>
      </c>
      <c r="F6" s="5">
        <f>COUNTIF(Milestones!$A:$A,$A6)</f>
        <v/>
      </c>
      <c r="G6" s="5" t="n">
        <v>79792350</v>
      </c>
      <c r="H6" s="5" t="n">
        <v>-76491</v>
      </c>
      <c r="I6" s="5" t="n">
        <v>128422025</v>
      </c>
      <c r="J6" s="5" t="n">
        <v>246162</v>
      </c>
    </row>
    <row r="7">
      <c r="A7" s="4" t="inlineStr">
        <is>
          <t>Stray Kids</t>
        </is>
      </c>
      <c r="B7" s="5" t="n">
        <v>325</v>
      </c>
      <c r="C7" s="5" t="n">
        <v>14870165597</v>
      </c>
      <c r="D7" s="5" t="n">
        <v>66828606</v>
      </c>
      <c r="E7" s="5">
        <f>D7/7</f>
        <v/>
      </c>
      <c r="F7" s="5">
        <f>COUNTIF(Milestones!$A:$A,$A7)</f>
        <v/>
      </c>
      <c r="G7" s="5" t="n">
        <v>10176332</v>
      </c>
      <c r="H7" s="5" t="n">
        <v>535163</v>
      </c>
      <c r="I7" s="5" t="n">
        <v>23771490</v>
      </c>
      <c r="J7" s="5" t="n">
        <v>90227</v>
      </c>
    </row>
    <row r="8">
      <c r="A8" s="4" t="inlineStr">
        <is>
          <t>Justin Timberlake (catch-all)</t>
        </is>
      </c>
      <c r="B8" s="5" t="n">
        <v>272</v>
      </c>
      <c r="C8" s="5" t="n">
        <v>18408386286</v>
      </c>
      <c r="D8" s="5" t="n">
        <v>60039290</v>
      </c>
      <c r="E8" s="5">
        <f>D8/7</f>
        <v/>
      </c>
      <c r="F8" s="5">
        <f>COUNTIF(Milestones!$A:$A,$A8)</f>
        <v/>
      </c>
      <c r="G8" s="5" t="n">
        <v>56546822</v>
      </c>
      <c r="H8" s="5" t="n">
        <v>-158815</v>
      </c>
      <c r="I8" s="5" t="n">
        <v>17085248</v>
      </c>
      <c r="J8" s="5" t="n">
        <v>39207</v>
      </c>
    </row>
    <row r="9">
      <c r="A9" s="4" t="inlineStr">
        <is>
          <t>Britney Spears</t>
        </is>
      </c>
      <c r="B9" s="5" t="n">
        <v>367</v>
      </c>
      <c r="C9" s="5" t="n">
        <v>16030813179</v>
      </c>
      <c r="D9" s="5" t="n">
        <v>51816265</v>
      </c>
      <c r="E9" s="5">
        <f>D9/7</f>
        <v/>
      </c>
      <c r="F9" s="5">
        <f>COUNTIF(Milestones!$A:$A,$A9)</f>
        <v/>
      </c>
      <c r="G9" s="5" t="n">
        <v>48009645</v>
      </c>
      <c r="H9" s="5" t="n">
        <v>-561154</v>
      </c>
      <c r="I9" s="5" t="n">
        <v>19553465</v>
      </c>
      <c r="J9" s="5" t="n">
        <v>47552</v>
      </c>
    </row>
    <row r="10">
      <c r="A10" s="4" t="inlineStr">
        <is>
          <t>Cardi B</t>
        </is>
      </c>
      <c r="B10" s="5" t="n">
        <v>179</v>
      </c>
      <c r="C10" s="5" t="n">
        <v>21603417887</v>
      </c>
      <c r="D10" s="5" t="n">
        <v>34858809</v>
      </c>
      <c r="E10" s="5">
        <f>D10/7</f>
        <v/>
      </c>
      <c r="F10" s="5">
        <f>COUNTIF(Milestones!$A:$A,$A10)</f>
        <v/>
      </c>
      <c r="G10" s="5" t="n">
        <v>31641630</v>
      </c>
      <c r="H10" s="5" t="n">
        <v>-805674</v>
      </c>
      <c r="I10" s="5" t="n">
        <v>27253241</v>
      </c>
      <c r="J10" s="5" t="n">
        <v>37468</v>
      </c>
    </row>
    <row r="11">
      <c r="A11" s="4" t="inlineStr">
        <is>
          <t>Bebe Rexha</t>
        </is>
      </c>
      <c r="B11" s="5" t="n">
        <v>248</v>
      </c>
      <c r="C11" s="5" t="n">
        <v>17442733985</v>
      </c>
      <c r="D11" s="5" t="n">
        <v>34711041</v>
      </c>
      <c r="E11" s="5">
        <f>D11/7</f>
        <v/>
      </c>
      <c r="F11" s="5">
        <f>COUNTIF(Milestones!$A:$A,$A11)</f>
        <v/>
      </c>
      <c r="G11" s="5" t="n">
        <v>43129235</v>
      </c>
      <c r="H11" s="5" t="n">
        <v>-348881</v>
      </c>
      <c r="I11" s="5" t="n">
        <v>10305404</v>
      </c>
      <c r="J11" s="5" t="n">
        <v>10780</v>
      </c>
    </row>
    <row r="12">
      <c r="A12" s="4" t="inlineStr">
        <is>
          <t>Christina Aguilera</t>
        </is>
      </c>
      <c r="B12" s="5" t="n">
        <v>328</v>
      </c>
      <c r="C12" s="5" t="n">
        <v>11084588437</v>
      </c>
      <c r="D12" s="5" t="n">
        <v>27312002</v>
      </c>
      <c r="E12" s="5">
        <f>D12/7</f>
        <v/>
      </c>
      <c r="F12" s="5">
        <f>COUNTIF(Milestones!$A:$A,$A12)</f>
        <v/>
      </c>
      <c r="G12" s="5" t="n">
        <v>31713424</v>
      </c>
      <c r="H12" s="5" t="n"/>
      <c r="I12" s="5" t="n">
        <v>9802384</v>
      </c>
      <c r="J12" s="5" t="n"/>
    </row>
    <row r="13">
      <c r="A13" s="4" t="inlineStr">
        <is>
          <t>LISA</t>
        </is>
      </c>
      <c r="B13" s="5" t="n">
        <v>31</v>
      </c>
      <c r="C13" s="5" t="n">
        <v>5324841186</v>
      </c>
      <c r="D13" s="5" t="n">
        <v>17153454</v>
      </c>
      <c r="E13" s="5">
        <f>D13/7</f>
        <v/>
      </c>
      <c r="F13" s="5">
        <f>COUNTIF(Milestones!$A:$A,$A13)</f>
        <v/>
      </c>
      <c r="G13" s="5" t="n">
        <v>15000387</v>
      </c>
      <c r="H13" s="5" t="n">
        <v>-614168</v>
      </c>
      <c r="I13" s="5" t="n">
        <v>15641974</v>
      </c>
      <c r="J13" s="5" t="n">
        <v>66458</v>
      </c>
    </row>
    <row r="14">
      <c r="A14" s="4" t="inlineStr">
        <is>
          <t>BABYMONSTER</t>
        </is>
      </c>
      <c r="B14" s="5" t="n">
        <v>42</v>
      </c>
      <c r="C14" s="5" t="n">
        <v>2435516730</v>
      </c>
      <c r="D14" s="5" t="n">
        <v>16980222</v>
      </c>
      <c r="E14" s="5">
        <f>D14/7</f>
        <v/>
      </c>
      <c r="F14" s="5">
        <f>COUNTIF(Milestones!$A:$A,$A14)</f>
        <v/>
      </c>
      <c r="G14" s="5" t="n">
        <v>8609967</v>
      </c>
      <c r="H14" s="5" t="n"/>
      <c r="I14" s="5" t="n">
        <v>8143186</v>
      </c>
      <c r="J14" s="5" t="n"/>
    </row>
    <row r="15">
      <c r="A15" s="4" t="inlineStr">
        <is>
          <t>George Michael</t>
        </is>
      </c>
      <c r="B15" s="5" t="n">
        <v>216</v>
      </c>
      <c r="C15" s="5" t="n">
        <v>5305168810</v>
      </c>
      <c r="D15" s="5" t="n">
        <v>15035193</v>
      </c>
      <c r="E15" s="5">
        <f>D15/7</f>
        <v/>
      </c>
      <c r="F15" s="5">
        <f>COUNTIF(Milestones!$A:$A,$A15)</f>
        <v/>
      </c>
      <c r="G15" s="5" t="n">
        <v>21775768</v>
      </c>
      <c r="H15" s="5" t="n">
        <v>196983</v>
      </c>
      <c r="I15" s="5" t="n">
        <v>6207120</v>
      </c>
      <c r="J15" s="5" t="n">
        <v>12053</v>
      </c>
    </row>
    <row r="16">
      <c r="A16" s="4" t="inlineStr">
        <is>
          <t>Melanie Martinez</t>
        </is>
      </c>
      <c r="B16" s="5" t="n">
        <v>109</v>
      </c>
      <c r="C16" s="5" t="n">
        <v>11559752338</v>
      </c>
      <c r="D16" s="5" t="n">
        <v>12396090</v>
      </c>
      <c r="E16" s="5">
        <f>D16/7</f>
        <v/>
      </c>
      <c r="F16" s="5">
        <f>COUNTIF(Milestones!$A:$A,$A16)</f>
        <v/>
      </c>
      <c r="G16" s="5" t="n">
        <v>13401966</v>
      </c>
      <c r="H16" s="5" t="n"/>
      <c r="I16" s="5" t="n">
        <v>22992054</v>
      </c>
      <c r="J16" s="5" t="n"/>
    </row>
    <row r="17">
      <c r="A17" s="4" t="inlineStr">
        <is>
          <t>*NSYNC</t>
        </is>
      </c>
      <c r="B17" s="5" t="n">
        <v>91</v>
      </c>
      <c r="C17" s="5" t="n">
        <v>3676559732</v>
      </c>
      <c r="D17" s="5" t="n">
        <v>10792336</v>
      </c>
      <c r="E17" s="5">
        <f>D17/7</f>
        <v/>
      </c>
      <c r="F17" s="5">
        <f>COUNTIF(Milestones!$A:$A,$A17)</f>
        <v/>
      </c>
      <c r="G17" s="5" t="n">
        <v>15602035</v>
      </c>
      <c r="H17" s="5" t="n">
        <v>-2338</v>
      </c>
      <c r="I17" s="5" t="n">
        <v>3315577</v>
      </c>
      <c r="J17" s="5" t="n">
        <v>8354</v>
      </c>
    </row>
    <row r="18">
      <c r="A18" s="4" t="inlineStr">
        <is>
          <t>Dove Cameron</t>
        </is>
      </c>
      <c r="B18" s="5" t="n">
        <v>69</v>
      </c>
      <c r="C18" s="5" t="n">
        <v>3376049798</v>
      </c>
      <c r="D18" s="5" t="n">
        <v>8661074</v>
      </c>
      <c r="E18" s="5">
        <f>D18/7</f>
        <v/>
      </c>
      <c r="F18" s="5">
        <f>COUNTIF(Milestones!$A:$A,$A18)</f>
        <v/>
      </c>
      <c r="G18" s="5" t="n">
        <v>8492965</v>
      </c>
      <c r="H18" s="5" t="n">
        <v>-75923</v>
      </c>
      <c r="I18" s="5" t="n">
        <v>5667990</v>
      </c>
      <c r="J18" s="5" t="n">
        <v>2797</v>
      </c>
    </row>
    <row r="19">
      <c r="A19" s="4" t="inlineStr">
        <is>
          <t>Janet Jackson</t>
        </is>
      </c>
      <c r="B19" s="5" t="n">
        <v>440</v>
      </c>
      <c r="C19" s="5" t="n">
        <v>2215151165</v>
      </c>
      <c r="D19" s="5" t="n">
        <v>8249116</v>
      </c>
      <c r="E19" s="5">
        <f>D19/7</f>
        <v/>
      </c>
      <c r="F19" s="5">
        <f>COUNTIF(Milestones!$A:$A,$A19)</f>
        <v/>
      </c>
      <c r="G19" s="5" t="n">
        <v>9964712</v>
      </c>
      <c r="H19" s="5" t="n">
        <v>-92801</v>
      </c>
      <c r="I19" s="5" t="n">
        <v>4278897</v>
      </c>
      <c r="J19" s="5" t="n">
        <v>7533</v>
      </c>
    </row>
    <row r="20">
      <c r="A20" s="4" t="inlineStr">
        <is>
          <t>Faouzia</t>
        </is>
      </c>
      <c r="B20" s="5" t="n">
        <v>95</v>
      </c>
      <c r="C20" s="5" t="n">
        <v>1224212721</v>
      </c>
      <c r="D20" s="5" t="n">
        <v>5447532</v>
      </c>
      <c r="E20" s="5">
        <f>D20/7</f>
        <v/>
      </c>
      <c r="F20" s="5">
        <f>COUNTIF(Milestones!$A:$A,$A20)</f>
        <v/>
      </c>
      <c r="G20" s="5" t="n">
        <v>4543667</v>
      </c>
      <c r="H20" s="5" t="n"/>
      <c r="I20" s="5" t="n">
        <v>1018515</v>
      </c>
      <c r="J20" s="5" t="n"/>
    </row>
    <row r="21">
      <c r="A21" s="4" t="inlineStr">
        <is>
          <t>cupcakke</t>
        </is>
      </c>
      <c r="B21" s="5" t="n">
        <v>156</v>
      </c>
      <c r="C21" s="5" t="n">
        <v>747223030</v>
      </c>
      <c r="D21" s="5" t="n">
        <v>2197432</v>
      </c>
      <c r="E21" s="5">
        <f>D21/7</f>
        <v/>
      </c>
      <c r="F21" s="5">
        <f>COUNTIF(Milestones!$A:$A,$A21)</f>
        <v/>
      </c>
      <c r="G21" s="5" t="n">
        <v>2207405</v>
      </c>
      <c r="H21" s="5" t="n">
        <v>-16321</v>
      </c>
      <c r="I21" s="5" t="n">
        <v>1253560</v>
      </c>
      <c r="J21" s="5" t="n">
        <v>4217</v>
      </c>
    </row>
    <row r="22">
      <c r="A22" s="4" t="inlineStr">
        <is>
          <t>Felix</t>
        </is>
      </c>
      <c r="B22" s="5" t="n">
        <v>5</v>
      </c>
      <c r="C22" s="5" t="n">
        <v>187241923</v>
      </c>
      <c r="D22" s="5" t="n">
        <v>954066</v>
      </c>
      <c r="E22" s="5">
        <f>D22/7</f>
        <v/>
      </c>
      <c r="F22" s="5">
        <f>COUNTIF(Milestones!$A:$A,$A22)</f>
        <v/>
      </c>
      <c r="G22" s="5" t="n">
        <v>1215086</v>
      </c>
      <c r="H22" s="5" t="n">
        <v>10783</v>
      </c>
      <c r="I22" s="5" t="n">
        <v>1165958</v>
      </c>
      <c r="J22" s="5" t="n">
        <v>11074</v>
      </c>
    </row>
    <row r="23">
      <c r="A23" s="4" t="inlineStr">
        <is>
          <t>JC Chasez</t>
        </is>
      </c>
      <c r="B23" s="5" t="n">
        <v>46</v>
      </c>
      <c r="C23" s="5" t="n">
        <v>15149769</v>
      </c>
      <c r="D23" s="5" t="n">
        <v>20866</v>
      </c>
      <c r="E23" s="5">
        <f>D23/7</f>
        <v/>
      </c>
      <c r="F23" s="5">
        <f>COUNTIF(Milestones!$A:$A,$A23)</f>
        <v/>
      </c>
      <c r="G23" s="5" t="n">
        <v>28792</v>
      </c>
      <c r="H23" s="5" t="n">
        <v>41</v>
      </c>
      <c r="I23" s="5" t="n">
        <v>62139</v>
      </c>
      <c r="J23" s="5" t="n">
        <v>57</v>
      </c>
    </row>
    <row r="24">
      <c r="A24" s="4" t="inlineStr">
        <is>
          <t>Vaelis (Monarch)</t>
        </is>
      </c>
      <c r="B24" s="5" t="n">
        <v>28</v>
      </c>
      <c r="C24" s="5" t="n">
        <v>162387</v>
      </c>
      <c r="D24" s="5" t="n">
        <v>11080</v>
      </c>
      <c r="E24" s="5">
        <f>D24/7</f>
        <v/>
      </c>
      <c r="F24" s="5">
        <f>COUNTIF(Milestones!$A:$A,$A24)</f>
        <v/>
      </c>
      <c r="G24" s="5" t="n">
        <v>2063</v>
      </c>
      <c r="H24" s="5" t="n">
        <v>-10</v>
      </c>
      <c r="I24" s="5" t="n">
        <v>6257</v>
      </c>
      <c r="J24" s="5" t="n">
        <v>15</v>
      </c>
    </row>
    <row r="25">
      <c r="A25" s="4" t="inlineStr">
        <is>
          <t>Utopic Records</t>
        </is>
      </c>
      <c r="B25" s="5" t="n">
        <v>2</v>
      </c>
      <c r="C25" s="5" t="n">
        <v>8370</v>
      </c>
      <c r="D25" s="5" t="n">
        <v>69</v>
      </c>
      <c r="E25" s="5">
        <f>D25/7</f>
        <v/>
      </c>
      <c r="F25" s="5">
        <f>COUNTIF(Milestones!$A:$A,$A25)</f>
        <v/>
      </c>
      <c r="G25" s="5" t="n">
        <v>235</v>
      </c>
      <c r="H25" s="5" t="n"/>
      <c r="I25" s="5" t="n">
        <v>4</v>
      </c>
      <c r="J25" s="5" t="n"/>
    </row>
    <row r="26">
      <c r="A26" s="6" t="inlineStr">
        <is>
          <t>TOTAL</t>
        </is>
      </c>
      <c r="B26" s="7">
        <f>SUM(B5:B25)</f>
        <v/>
      </c>
      <c r="C26" s="7">
        <f>SUM(C5:C25)</f>
        <v/>
      </c>
      <c r="D26" s="7">
        <f>SUM(D5:D25)</f>
        <v/>
      </c>
      <c r="E26" s="7">
        <f>D26/7</f>
        <v/>
      </c>
      <c r="F26" s="7">
        <f>SUM(F5:F25)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6" customWidth="1" min="3" max="3"/>
    <col width="14" customWidth="1" min="4" max="4"/>
    <col width="16" customWidth="1" min="5" max="5"/>
    <col width="15" customWidth="1" min="6" max="6"/>
  </cols>
  <sheetData>
    <row r="1">
      <c r="A1" s="1" t="inlineStr">
        <is>
          <t>Top Songs by Weekly Gain (full-disc artists)</t>
        </is>
      </c>
    </row>
    <row r="3">
      <c r="A3" s="3" t="inlineStr">
        <is>
          <t>#</t>
        </is>
      </c>
      <c r="B3" s="3" t="inlineStr">
        <is>
          <t>Artist</t>
        </is>
      </c>
      <c r="C3" s="3" t="inlineStr">
        <is>
          <t>Song</t>
        </is>
      </c>
      <c r="D3" s="3" t="inlineStr">
        <is>
          <t>Weekly Gain</t>
        </is>
      </c>
      <c r="E3" s="3" t="inlineStr">
        <is>
          <t>Total Streams</t>
        </is>
      </c>
      <c r="F3" s="3" t="inlineStr">
        <is>
          <t>% of Artist Week</t>
        </is>
      </c>
    </row>
    <row r="4">
      <c r="A4" s="4" t="n">
        <v>1</v>
      </c>
      <c r="B4" s="4" t="inlineStr">
        <is>
          <t>Olivia Rodrigo</t>
        </is>
      </c>
      <c r="C4" s="4" t="inlineStr">
        <is>
          <t>stupid song</t>
        </is>
      </c>
      <c r="D4" s="5" t="n">
        <v>28556575</v>
      </c>
      <c r="E4" s="5" t="n">
        <v>106976810</v>
      </c>
      <c r="F4" s="8">
        <f>D4/VLOOKUP(B4,Summary!$A$5:$D$25,4,FALSE)</f>
        <v/>
      </c>
    </row>
    <row r="5">
      <c r="A5" s="4" t="n">
        <v>2</v>
      </c>
      <c r="B5" s="4" t="inlineStr">
        <is>
          <t>Olivia Rodrigo</t>
        </is>
      </c>
      <c r="C5" s="4" t="inlineStr">
        <is>
          <t>the cure</t>
        </is>
      </c>
      <c r="D5" s="5" t="n">
        <v>25427432</v>
      </c>
      <c r="E5" s="5" t="n">
        <v>187956753</v>
      </c>
      <c r="F5" s="8">
        <f>D5/VLOOKUP(B5,Summary!$A$5:$D$25,4,FALSE)</f>
        <v/>
      </c>
    </row>
    <row r="6">
      <c r="A6" s="4" t="n">
        <v>3</v>
      </c>
      <c r="B6" s="4" t="inlineStr">
        <is>
          <t>Olivia Rodrigo</t>
        </is>
      </c>
      <c r="C6" s="4" t="inlineStr">
        <is>
          <t>drop dead</t>
        </is>
      </c>
      <c r="D6" s="5" t="n">
        <v>23718695</v>
      </c>
      <c r="E6" s="5" t="n">
        <v>313487096</v>
      </c>
      <c r="F6" s="8">
        <f>D6/VLOOKUP(B6,Summary!$A$5:$D$25,4,FALSE)</f>
        <v/>
      </c>
    </row>
    <row r="7">
      <c r="A7" s="4" t="n">
        <v>4</v>
      </c>
      <c r="B7" s="4" t="inlineStr">
        <is>
          <t>Olivia Rodrigo</t>
        </is>
      </c>
      <c r="C7" s="4" t="inlineStr">
        <is>
          <t>honeybee</t>
        </is>
      </c>
      <c r="D7" s="5" t="n">
        <v>20952360</v>
      </c>
      <c r="E7" s="5" t="n">
        <v>73645772</v>
      </c>
      <c r="F7" s="8">
        <f>D7/VLOOKUP(B7,Summary!$A$5:$D$25,4,FALSE)</f>
        <v/>
      </c>
    </row>
    <row r="8">
      <c r="A8" s="4" t="n">
        <v>5</v>
      </c>
      <c r="B8" s="4" t="inlineStr">
        <is>
          <t>Billie Eilish</t>
        </is>
      </c>
      <c r="C8" s="4" t="inlineStr">
        <is>
          <t>BIRDS OF A FEATHER</t>
        </is>
      </c>
      <c r="D8" s="5" t="n">
        <v>15445028</v>
      </c>
      <c r="E8" s="5" t="n">
        <v>3821330134</v>
      </c>
      <c r="F8" s="8">
        <f>D8/VLOOKUP(B8,Summary!$A$5:$D$25,4,FALSE)</f>
        <v/>
      </c>
    </row>
    <row r="9">
      <c r="A9" s="4" t="n">
        <v>6</v>
      </c>
      <c r="B9" s="4" t="inlineStr">
        <is>
          <t>Olivia Rodrigo</t>
        </is>
      </c>
      <c r="C9" s="4" t="inlineStr">
        <is>
          <t>maggots for brains</t>
        </is>
      </c>
      <c r="D9" s="5" t="n">
        <v>14432051</v>
      </c>
      <c r="E9" s="5" t="n">
        <v>57358372</v>
      </c>
      <c r="F9" s="8">
        <f>D9/VLOOKUP(B9,Summary!$A$5:$D$25,4,FALSE)</f>
        <v/>
      </c>
    </row>
    <row r="10">
      <c r="A10" s="4" t="n">
        <v>7</v>
      </c>
      <c r="B10" s="4" t="inlineStr">
        <is>
          <t>Olivia Rodrigo</t>
        </is>
      </c>
      <c r="C10" s="4" t="inlineStr">
        <is>
          <t>expectations</t>
        </is>
      </c>
      <c r="D10" s="5" t="n">
        <v>14236393</v>
      </c>
      <c r="E10" s="5" t="n">
        <v>53955761</v>
      </c>
      <c r="F10" s="8">
        <f>D10/VLOOKUP(B10,Summary!$A$5:$D$25,4,FALSE)</f>
        <v/>
      </c>
    </row>
    <row r="11">
      <c r="A11" s="4" t="n">
        <v>8</v>
      </c>
      <c r="B11" s="4" t="inlineStr">
        <is>
          <t>Olivia Rodrigo</t>
        </is>
      </c>
      <c r="C11" s="4" t="inlineStr">
        <is>
          <t>less</t>
        </is>
      </c>
      <c r="D11" s="5" t="n">
        <v>13976153</v>
      </c>
      <c r="E11" s="5" t="n">
        <v>54249219</v>
      </c>
      <c r="F11" s="8">
        <f>D11/VLOOKUP(B11,Summary!$A$5:$D$25,4,FALSE)</f>
        <v/>
      </c>
    </row>
    <row r="12">
      <c r="A12" s="4" t="n">
        <v>9</v>
      </c>
      <c r="B12" s="4" t="inlineStr">
        <is>
          <t>Olivia Rodrigo</t>
        </is>
      </c>
      <c r="C12" s="4" t="inlineStr">
        <is>
          <t>my way</t>
        </is>
      </c>
      <c r="D12" s="5" t="n">
        <v>13558269</v>
      </c>
      <c r="E12" s="5" t="n">
        <v>55036470</v>
      </c>
      <c r="F12" s="8">
        <f>D12/VLOOKUP(B12,Summary!$A$5:$D$25,4,FALSE)</f>
        <v/>
      </c>
    </row>
    <row r="13">
      <c r="A13" s="4" t="n">
        <v>10</v>
      </c>
      <c r="B13" s="4" t="inlineStr">
        <is>
          <t>Olivia Rodrigo</t>
        </is>
      </c>
      <c r="C13" s="4" t="inlineStr">
        <is>
          <t>what’s wrong with me</t>
        </is>
      </c>
      <c r="D13" s="5" t="n">
        <v>13548458</v>
      </c>
      <c r="E13" s="5" t="n">
        <v>54661152</v>
      </c>
      <c r="F13" s="8">
        <f>D13/VLOOKUP(B13,Summary!$A$5:$D$25,4,FALSE)</f>
        <v/>
      </c>
    </row>
    <row r="14">
      <c r="A14" s="4" t="n">
        <v>11</v>
      </c>
      <c r="B14" s="4" t="inlineStr">
        <is>
          <t>Olivia Rodrigo</t>
        </is>
      </c>
      <c r="C14" s="4" t="inlineStr">
        <is>
          <t>u + me = &lt;3</t>
        </is>
      </c>
      <c r="D14" s="5" t="n">
        <v>12950466</v>
      </c>
      <c r="E14" s="5" t="n">
        <v>53016080</v>
      </c>
      <c r="F14" s="8">
        <f>D14/VLOOKUP(B14,Summary!$A$5:$D$25,4,FALSE)</f>
        <v/>
      </c>
    </row>
    <row r="15">
      <c r="A15" s="4" t="n">
        <v>12</v>
      </c>
      <c r="B15" s="4" t="inlineStr">
        <is>
          <t>Olivia Rodrigo</t>
        </is>
      </c>
      <c r="C15" s="4" t="inlineStr">
        <is>
          <t>begged</t>
        </is>
      </c>
      <c r="D15" s="5" t="n">
        <v>12358605</v>
      </c>
      <c r="E15" s="5" t="n">
        <v>52353315</v>
      </c>
      <c r="F15" s="8">
        <f>D15/VLOOKUP(B15,Summary!$A$5:$D$25,4,FALSE)</f>
        <v/>
      </c>
    </row>
    <row r="16">
      <c r="A16" s="4" t="n">
        <v>13</v>
      </c>
      <c r="B16" s="4" t="inlineStr">
        <is>
          <t>Billie Eilish</t>
        </is>
      </c>
      <c r="C16" s="4" t="inlineStr">
        <is>
          <t>WILDFLOWER</t>
        </is>
      </c>
      <c r="D16" s="5" t="n">
        <v>10870084</v>
      </c>
      <c r="E16" s="5" t="n">
        <v>2141928758</v>
      </c>
      <c r="F16" s="8">
        <f>D16/VLOOKUP(B16,Summary!$A$5:$D$25,4,FALSE)</f>
        <v/>
      </c>
    </row>
    <row r="17">
      <c r="A17" s="4" t="n">
        <v>14</v>
      </c>
      <c r="B17" s="4" t="inlineStr">
        <is>
          <t>Olivia Rodrigo</t>
        </is>
      </c>
      <c r="C17" s="4" t="inlineStr">
        <is>
          <t>cigarette smoke</t>
        </is>
      </c>
      <c r="D17" s="5" t="n">
        <v>9569675</v>
      </c>
      <c r="E17" s="5" t="n">
        <v>40116870</v>
      </c>
      <c r="F17" s="8">
        <f>D17/VLOOKUP(B17,Summary!$A$5:$D$25,4,FALSE)</f>
        <v/>
      </c>
    </row>
    <row r="18">
      <c r="A18" s="4" t="n">
        <v>15</v>
      </c>
      <c r="B18" s="4" t="inlineStr">
        <is>
          <t>Stray Kids</t>
        </is>
      </c>
      <c r="C18" s="4" t="inlineStr">
        <is>
          <t>RUN IT</t>
        </is>
      </c>
      <c r="D18" s="5" t="n">
        <v>9490907</v>
      </c>
      <c r="E18" s="5" t="n">
        <v>12271276</v>
      </c>
      <c r="F18" s="8">
        <f>D18/VLOOKUP(B18,Summary!$A$5:$D$25,4,FALSE)</f>
        <v/>
      </c>
    </row>
    <row r="19">
      <c r="A19" s="4" t="n">
        <v>16</v>
      </c>
      <c r="B19" s="4" t="inlineStr">
        <is>
          <t>Olivia Rodrigo</t>
        </is>
      </c>
      <c r="C19" s="4" t="inlineStr">
        <is>
          <t>purple</t>
        </is>
      </c>
      <c r="D19" s="5" t="n">
        <v>8989664</v>
      </c>
      <c r="E19" s="5" t="n">
        <v>40166243</v>
      </c>
      <c r="F19" s="8">
        <f>D19/VLOOKUP(B19,Summary!$A$5:$D$25,4,FALSE)</f>
        <v/>
      </c>
    </row>
    <row r="20">
      <c r="A20" s="4" t="n">
        <v>17</v>
      </c>
      <c r="B20" s="4" t="inlineStr">
        <is>
          <t>Christina Aguilera</t>
        </is>
      </c>
      <c r="C20" s="4" t="inlineStr">
        <is>
          <t>Moves Like Jagger - Studio Recording From "The Voice" Performance</t>
        </is>
      </c>
      <c r="D20" s="5" t="n">
        <v>7559577</v>
      </c>
      <c r="E20" s="5" t="n">
        <v>2196811977</v>
      </c>
      <c r="F20" s="8">
        <f>D20/VLOOKUP(B20,Summary!$A$5:$D$25,4,FALSE)</f>
        <v/>
      </c>
    </row>
    <row r="21">
      <c r="A21" s="4" t="n">
        <v>18</v>
      </c>
      <c r="B21" s="4" t="inlineStr">
        <is>
          <t>Olivia Rodrigo</t>
        </is>
      </c>
      <c r="C21" s="4" t="inlineStr">
        <is>
          <t>deja vu</t>
        </is>
      </c>
      <c r="D21" s="5" t="n">
        <v>7009876</v>
      </c>
      <c r="E21" s="5" t="n">
        <v>2325893821</v>
      </c>
      <c r="F21" s="8">
        <f>D21/VLOOKUP(B21,Summary!$A$5:$D$25,4,FALSE)</f>
        <v/>
      </c>
    </row>
    <row r="22">
      <c r="A22" s="4" t="n">
        <v>19</v>
      </c>
      <c r="B22" s="4" t="inlineStr">
        <is>
          <t>Olivia Rodrigo</t>
        </is>
      </c>
      <c r="C22" s="4" t="inlineStr">
        <is>
          <t>drivers license</t>
        </is>
      </c>
      <c r="D22" s="5" t="n">
        <v>6869989</v>
      </c>
      <c r="E22" s="5" t="n">
        <v>2883012713</v>
      </c>
      <c r="F22" s="8">
        <f>D22/VLOOKUP(B22,Summary!$A$5:$D$25,4,FALSE)</f>
        <v/>
      </c>
    </row>
    <row r="23">
      <c r="A23" s="4" t="n">
        <v>20</v>
      </c>
      <c r="B23" s="4" t="inlineStr">
        <is>
          <t>Billie Eilish</t>
        </is>
      </c>
      <c r="C23" s="4" t="inlineStr">
        <is>
          <t>lovely</t>
        </is>
      </c>
      <c r="D23" s="5" t="n">
        <v>6861393</v>
      </c>
      <c r="E23" s="5" t="n">
        <v>3803920007</v>
      </c>
      <c r="F23" s="8">
        <f>D23/VLOOKUP(B23,Summary!$A$5:$D$25,4,FALSE)</f>
        <v/>
      </c>
    </row>
    <row r="24">
      <c r="A24" s="4" t="n">
        <v>21</v>
      </c>
      <c r="B24" s="4" t="inlineStr">
        <is>
          <t>Olivia Rodrigo</t>
        </is>
      </c>
      <c r="C24" s="4" t="inlineStr">
        <is>
          <t>traitor</t>
        </is>
      </c>
      <c r="D24" s="5" t="n">
        <v>6840246</v>
      </c>
      <c r="E24" s="5" t="n">
        <v>2367829935</v>
      </c>
      <c r="F24" s="8">
        <f>D24/VLOOKUP(B24,Summary!$A$5:$D$25,4,FALSE)</f>
        <v/>
      </c>
    </row>
    <row r="25">
      <c r="A25" s="4" t="n">
        <v>22</v>
      </c>
      <c r="B25" s="4" t="inlineStr">
        <is>
          <t>Justin Timberlake (catch-all)</t>
        </is>
      </c>
      <c r="C25" s="4" t="inlineStr">
        <is>
          <t>Mirrors</t>
        </is>
      </c>
      <c r="D25" s="5" t="n">
        <v>6824684</v>
      </c>
      <c r="E25" s="5" t="n">
        <v>1558784436</v>
      </c>
      <c r="F25" s="8">
        <f>D25/VLOOKUP(B25,Summary!$A$5:$D$25,4,FALSE)</f>
        <v/>
      </c>
    </row>
    <row r="26">
      <c r="A26" s="4" t="n">
        <v>23</v>
      </c>
      <c r="B26" s="4" t="inlineStr">
        <is>
          <t>Britney Spears</t>
        </is>
      </c>
      <c r="C26" s="4" t="inlineStr">
        <is>
          <t>Toxic</t>
        </is>
      </c>
      <c r="D26" s="5" t="n">
        <v>6581311</v>
      </c>
      <c r="E26" s="5" t="n">
        <v>1972844348</v>
      </c>
      <c r="F26" s="8">
        <f>D26/VLOOKUP(B26,Summary!$A$5:$D$25,4,FALSE)</f>
        <v/>
      </c>
    </row>
    <row r="27">
      <c r="A27" s="4" t="n">
        <v>24</v>
      </c>
      <c r="B27" s="4" t="inlineStr">
        <is>
          <t>Billie Eilish</t>
        </is>
      </c>
      <c r="C27" s="4" t="inlineStr">
        <is>
          <t>ocean eyes</t>
        </is>
      </c>
      <c r="D27" s="5" t="n">
        <v>6549016</v>
      </c>
      <c r="E27" s="5" t="n">
        <v>2240987920</v>
      </c>
      <c r="F27" s="8">
        <f>D27/VLOOKUP(B27,Summary!$A$5:$D$25,4,FALSE)</f>
        <v/>
      </c>
    </row>
    <row r="28">
      <c r="A28" s="4" t="n">
        <v>25</v>
      </c>
      <c r="B28" s="4" t="inlineStr">
        <is>
          <t>Justin Timberlake (catch-all)</t>
        </is>
      </c>
      <c r="C28" s="4" t="inlineStr">
        <is>
          <t>SexyBack (feat. Timbaland)</t>
        </is>
      </c>
      <c r="D28" s="5" t="n">
        <v>6412939</v>
      </c>
      <c r="E28" s="5" t="n">
        <v>1456096120</v>
      </c>
      <c r="F28" s="8">
        <f>D28/VLOOKUP(B28,Summary!$A$5:$D$25,4,FALSE)</f>
        <v/>
      </c>
    </row>
    <row r="29">
      <c r="A29" s="4" t="n">
        <v>26</v>
      </c>
      <c r="B29" s="4" t="inlineStr">
        <is>
          <t>Britney Spears</t>
        </is>
      </c>
      <c r="C29" s="4" t="inlineStr">
        <is>
          <t>...Baby One More Time</t>
        </is>
      </c>
      <c r="D29" s="5" t="n">
        <v>6223437</v>
      </c>
      <c r="E29" s="5" t="n">
        <v>1389547231</v>
      </c>
      <c r="F29" s="8">
        <f>D29/VLOOKUP(B29,Summary!$A$5:$D$25,4,FALSE)</f>
        <v/>
      </c>
    </row>
    <row r="30">
      <c r="A30" s="4" t="n">
        <v>27</v>
      </c>
      <c r="B30" s="4" t="inlineStr">
        <is>
          <t>George Michael</t>
        </is>
      </c>
      <c r="C30" s="4" t="inlineStr">
        <is>
          <t>Careless Whisper</t>
        </is>
      </c>
      <c r="D30" s="5" t="n">
        <v>6146718</v>
      </c>
      <c r="E30" s="5" t="n">
        <v>1565426477</v>
      </c>
      <c r="F30" s="8">
        <f>D30/VLOOKUP(B30,Summary!$A$5:$D$25,4,FALSE)</f>
        <v/>
      </c>
    </row>
    <row r="31">
      <c r="A31" s="4" t="n">
        <v>28</v>
      </c>
      <c r="B31" s="4" t="inlineStr">
        <is>
          <t>Bebe Rexha</t>
        </is>
      </c>
      <c r="C31" s="4" t="inlineStr">
        <is>
          <t>I'm Good (Blue)</t>
        </is>
      </c>
      <c r="D31" s="5" t="n">
        <v>5566204</v>
      </c>
      <c r="E31" s="5" t="n">
        <v>2434207735</v>
      </c>
      <c r="F31" s="8">
        <f>D31/VLOOKUP(B31,Summary!$A$5:$D$25,4,FALSE)</f>
        <v/>
      </c>
    </row>
    <row r="32">
      <c r="A32" s="4" t="n">
        <v>29</v>
      </c>
      <c r="B32" s="4" t="inlineStr">
        <is>
          <t>Britney Spears</t>
        </is>
      </c>
      <c r="C32" s="4" t="inlineStr">
        <is>
          <t>Gimme More</t>
        </is>
      </c>
      <c r="D32" s="5" t="n">
        <v>5493866</v>
      </c>
      <c r="E32" s="5" t="n">
        <v>1267160568</v>
      </c>
      <c r="F32" s="8">
        <f>D32/VLOOKUP(B32,Summary!$A$5:$D$25,4,FALSE)</f>
        <v/>
      </c>
    </row>
    <row r="33">
      <c r="A33" s="4" t="n">
        <v>30</v>
      </c>
      <c r="B33" s="4" t="inlineStr">
        <is>
          <t>Justin Timberlake (catch-all)</t>
        </is>
      </c>
      <c r="C33" s="4" t="inlineStr">
        <is>
          <t>Rock Your Body</t>
        </is>
      </c>
      <c r="D33" s="5" t="n">
        <v>5423587</v>
      </c>
      <c r="E33" s="5" t="n">
        <v>1073939527</v>
      </c>
      <c r="F33" s="8">
        <f>D33/VLOOKUP(B33,Summary!$A$5:$D$25,4,FALSE)</f>
        <v/>
      </c>
    </row>
    <row r="34">
      <c r="A34" s="4" t="n">
        <v>31</v>
      </c>
      <c r="B34" s="4" t="inlineStr">
        <is>
          <t>Olivia Rodrigo</t>
        </is>
      </c>
      <c r="C34" s="4" t="inlineStr">
        <is>
          <t>vampire</t>
        </is>
      </c>
      <c r="D34" s="5" t="n">
        <v>5256116</v>
      </c>
      <c r="E34" s="5" t="n">
        <v>1680903914</v>
      </c>
      <c r="F34" s="8">
        <f>D34/VLOOKUP(B34,Summary!$A$5:$D$25,4,FALSE)</f>
        <v/>
      </c>
    </row>
    <row r="35">
      <c r="A35" s="4" t="n">
        <v>32</v>
      </c>
      <c r="B35" s="4" t="inlineStr">
        <is>
          <t>Billie Eilish</t>
        </is>
      </c>
      <c r="C35" s="4" t="inlineStr">
        <is>
          <t>CHIHIRO</t>
        </is>
      </c>
      <c r="D35" s="5" t="n">
        <v>5083427</v>
      </c>
      <c r="E35" s="5" t="n">
        <v>1236895933</v>
      </c>
      <c r="F35" s="8">
        <f>D35/VLOOKUP(B35,Summary!$A$5:$D$25,4,FALSE)</f>
        <v/>
      </c>
    </row>
    <row r="36">
      <c r="A36" s="4" t="n">
        <v>33</v>
      </c>
      <c r="B36" s="4" t="inlineStr">
        <is>
          <t>Christina Aguilera</t>
        </is>
      </c>
      <c r="C36" s="4" t="inlineStr">
        <is>
          <t>Feel This Moment (feat. Christina Aguilera)</t>
        </is>
      </c>
      <c r="D36" s="5" t="n">
        <v>4647667</v>
      </c>
      <c r="E36" s="5" t="n">
        <v>1114820029</v>
      </c>
      <c r="F36" s="8">
        <f>D36/VLOOKUP(B36,Summary!$A$5:$D$25,4,FALSE)</f>
        <v/>
      </c>
    </row>
    <row r="37">
      <c r="A37" s="4" t="n">
        <v>34</v>
      </c>
      <c r="B37" s="4" t="inlineStr">
        <is>
          <t>Olivia Rodrigo</t>
        </is>
      </c>
      <c r="C37" s="4" t="inlineStr">
        <is>
          <t>good 4 u</t>
        </is>
      </c>
      <c r="D37" s="5" t="n">
        <v>4620340</v>
      </c>
      <c r="E37" s="5" t="n">
        <v>2675601948</v>
      </c>
      <c r="F37" s="8">
        <f>D37/VLOOKUP(B37,Summary!$A$5:$D$25,4,FALSE)</f>
        <v/>
      </c>
    </row>
    <row r="38">
      <c r="A38" s="4" t="n">
        <v>35</v>
      </c>
      <c r="B38" s="4" t="inlineStr">
        <is>
          <t>Bebe Rexha</t>
        </is>
      </c>
      <c r="C38" s="4" t="inlineStr">
        <is>
          <t>New Religion</t>
        </is>
      </c>
      <c r="D38" s="5" t="n">
        <v>4580859</v>
      </c>
      <c r="E38" s="5" t="n">
        <v>72943590</v>
      </c>
      <c r="F38" s="8">
        <f>D38/VLOOKUP(B38,Summary!$A$5:$D$25,4,FALSE)</f>
        <v/>
      </c>
    </row>
    <row r="39">
      <c r="A39" s="4" t="n">
        <v>36</v>
      </c>
      <c r="B39" s="4" t="inlineStr">
        <is>
          <t>Olivia Rodrigo</t>
        </is>
      </c>
      <c r="C39" s="4" t="inlineStr">
        <is>
          <t>happier</t>
        </is>
      </c>
      <c r="D39" s="5" t="n">
        <v>4519033</v>
      </c>
      <c r="E39" s="5" t="n">
        <v>1669567818</v>
      </c>
      <c r="F39" s="8">
        <f>D39/VLOOKUP(B39,Summary!$A$5:$D$25,4,FALSE)</f>
        <v/>
      </c>
    </row>
    <row r="40">
      <c r="A40" s="4" t="n">
        <v>37</v>
      </c>
      <c r="B40" s="4" t="inlineStr">
        <is>
          <t>Christina Aguilera</t>
        </is>
      </c>
      <c r="C40" s="4" t="inlineStr">
        <is>
          <t>Genie In a Bottle</t>
        </is>
      </c>
      <c r="D40" s="5" t="n">
        <v>4466113</v>
      </c>
      <c r="E40" s="5" t="n">
        <v>778417438</v>
      </c>
      <c r="F40" s="8">
        <f>D40/VLOOKUP(B40,Summary!$A$5:$D$25,4,FALSE)</f>
        <v/>
      </c>
    </row>
    <row r="41">
      <c r="A41" s="4" t="n">
        <v>38</v>
      </c>
      <c r="B41" s="4" t="inlineStr">
        <is>
          <t>Justin Timberlake (catch-all)</t>
        </is>
      </c>
      <c r="C41" s="4" t="inlineStr">
        <is>
          <t>My Love</t>
        </is>
      </c>
      <c r="D41" s="5" t="n">
        <v>4412147</v>
      </c>
      <c r="E41" s="5" t="n">
        <v>789129198</v>
      </c>
      <c r="F41" s="8">
        <f>D41/VLOOKUP(B41,Summary!$A$5:$D$25,4,FALSE)</f>
        <v/>
      </c>
    </row>
    <row r="42">
      <c r="A42" s="4" t="n">
        <v>39</v>
      </c>
      <c r="B42" s="4" t="inlineStr">
        <is>
          <t>Britney Spears</t>
        </is>
      </c>
      <c r="C42" s="4" t="inlineStr">
        <is>
          <t>Oops!...I Did It Again</t>
        </is>
      </c>
      <c r="D42" s="5" t="n">
        <v>4328725</v>
      </c>
      <c r="E42" s="5" t="n">
        <v>1221921055</v>
      </c>
      <c r="F42" s="8">
        <f>D42/VLOOKUP(B42,Summary!$A$5:$D$25,4,FALSE)</f>
        <v/>
      </c>
    </row>
    <row r="43">
      <c r="A43" s="4" t="n">
        <v>40</v>
      </c>
      <c r="B43" s="4" t="inlineStr">
        <is>
          <t>Billie Eilish</t>
        </is>
      </c>
      <c r="C43" s="4" t="inlineStr">
        <is>
          <t>Happier Than Ever</t>
        </is>
      </c>
      <c r="D43" s="5" t="n">
        <v>4268678</v>
      </c>
      <c r="E43" s="5" t="n">
        <v>1874831517</v>
      </c>
      <c r="F43" s="8">
        <f>D43/VLOOKUP(B43,Summary!$A$5:$D$25,4,FALSE)</f>
        <v/>
      </c>
    </row>
    <row r="44">
      <c r="A44" s="4" t="n">
        <v>41</v>
      </c>
      <c r="B44" s="4" t="inlineStr">
        <is>
          <t>Justin Timberlake (catch-all)</t>
        </is>
      </c>
      <c r="C44" s="4" t="inlineStr">
        <is>
          <t>CAN'T STOP THE FEELING! (from DreamWorks Animation's "TROLLS")</t>
        </is>
      </c>
      <c r="D44" s="5" t="n">
        <v>4122450</v>
      </c>
      <c r="E44" s="5" t="n">
        <v>2073644360</v>
      </c>
      <c r="F44" s="8">
        <f>D44/VLOOKUP(B44,Summary!$A$5:$D$25,4,FALSE)</f>
        <v/>
      </c>
    </row>
    <row r="45">
      <c r="A45" s="4" t="n">
        <v>42</v>
      </c>
      <c r="B45" s="4" t="inlineStr">
        <is>
          <t>*NSYNC</t>
        </is>
      </c>
      <c r="C45" s="4" t="inlineStr">
        <is>
          <t>Bye Bye Bye</t>
        </is>
      </c>
      <c r="D45" s="5" t="n">
        <v>4108281</v>
      </c>
      <c r="E45" s="5" t="n">
        <v>1280281987</v>
      </c>
      <c r="F45" s="8">
        <f>D45/VLOOKUP(B45,Summary!$A$5:$D$25,4,FALSE)</f>
        <v/>
      </c>
    </row>
    <row r="46">
      <c r="A46" s="4" t="n">
        <v>43</v>
      </c>
      <c r="B46" s="4" t="inlineStr">
        <is>
          <t>Bebe Rexha</t>
        </is>
      </c>
      <c r="C46" s="4" t="inlineStr">
        <is>
          <t>Me, Myself &amp; I</t>
        </is>
      </c>
      <c r="D46" s="5" t="n">
        <v>4076834</v>
      </c>
      <c r="E46" s="5" t="n">
        <v>1646491080</v>
      </c>
      <c r="F46" s="8">
        <f>D46/VLOOKUP(B46,Summary!$A$5:$D$25,4,FALSE)</f>
        <v/>
      </c>
    </row>
    <row r="47">
      <c r="A47" s="4" t="n">
        <v>44</v>
      </c>
      <c r="B47" s="4" t="inlineStr">
        <is>
          <t>Billie Eilish</t>
        </is>
      </c>
      <c r="C47" s="4" t="inlineStr">
        <is>
          <t>What Was I Made For? [From The Motion Picture "Barbie"]</t>
        </is>
      </c>
      <c r="D47" s="5" t="n">
        <v>3861546</v>
      </c>
      <c r="E47" s="5" t="n">
        <v>1635708361</v>
      </c>
      <c r="F47" s="8">
        <f>D47/VLOOKUP(B47,Summary!$A$5:$D$25,4,FALSE)</f>
        <v/>
      </c>
    </row>
    <row r="48">
      <c r="A48" s="4" t="n">
        <v>45</v>
      </c>
      <c r="B48" s="4" t="inlineStr">
        <is>
          <t>Billie Eilish</t>
        </is>
      </c>
      <c r="C48" s="4" t="inlineStr">
        <is>
          <t>when the party's over</t>
        </is>
      </c>
      <c r="D48" s="5" t="n">
        <v>3854505</v>
      </c>
      <c r="E48" s="5" t="n">
        <v>2520801961</v>
      </c>
      <c r="F48" s="8">
        <f>D48/VLOOKUP(B48,Summary!$A$5:$D$25,4,FALSE)</f>
        <v/>
      </c>
    </row>
    <row r="49">
      <c r="A49" s="4" t="n">
        <v>46</v>
      </c>
      <c r="B49" s="4" t="inlineStr">
        <is>
          <t>Britney Spears</t>
        </is>
      </c>
      <c r="C49" s="4" t="inlineStr">
        <is>
          <t>Scream &amp; Shout</t>
        </is>
      </c>
      <c r="D49" s="5" t="n">
        <v>3769600</v>
      </c>
      <c r="E49" s="5" t="n">
        <v>1072061456</v>
      </c>
      <c r="F49" s="8">
        <f>D49/VLOOKUP(B49,Summary!$A$5:$D$25,4,FALSE)</f>
        <v/>
      </c>
    </row>
    <row r="50">
      <c r="A50" s="4" t="n">
        <v>47</v>
      </c>
      <c r="B50" s="4" t="inlineStr">
        <is>
          <t>Olivia Rodrigo</t>
        </is>
      </c>
      <c r="C50" s="4" t="inlineStr">
        <is>
          <t>favorite crime</t>
        </is>
      </c>
      <c r="D50" s="5" t="n">
        <v>3706952</v>
      </c>
      <c r="E50" s="5" t="n">
        <v>1561718844</v>
      </c>
      <c r="F50" s="8">
        <f>D50/VLOOKUP(B50,Summary!$A$5:$D$25,4,FALSE)</f>
        <v/>
      </c>
    </row>
    <row r="51">
      <c r="A51" s="4" t="n">
        <v>48</v>
      </c>
      <c r="B51" s="4" t="inlineStr">
        <is>
          <t>Bebe Rexha</t>
        </is>
      </c>
      <c r="C51" s="4" t="inlineStr">
        <is>
          <t>In the Name of Love</t>
        </is>
      </c>
      <c r="D51" s="5" t="n">
        <v>3675257</v>
      </c>
      <c r="E51" s="5" t="n">
        <v>1764261083</v>
      </c>
      <c r="F51" s="8">
        <f>D51/VLOOKUP(B51,Summary!$A$5:$D$25,4,FALSE)</f>
        <v/>
      </c>
    </row>
    <row r="52">
      <c r="A52" s="4" t="n">
        <v>49</v>
      </c>
      <c r="B52" s="4" t="inlineStr">
        <is>
          <t>Cardi B</t>
        </is>
      </c>
      <c r="C52" s="4" t="inlineStr">
        <is>
          <t>Please Me</t>
        </is>
      </c>
      <c r="D52" s="5" t="n">
        <v>3458687</v>
      </c>
      <c r="E52" s="5" t="n">
        <v>871759687</v>
      </c>
      <c r="F52" s="8">
        <f>D52/VLOOKUP(B52,Summary!$A$5:$D$25,4,FALSE)</f>
        <v/>
      </c>
    </row>
    <row r="53">
      <c r="A53" s="4" t="n">
        <v>50</v>
      </c>
      <c r="B53" s="4" t="inlineStr">
        <is>
          <t>Cardi B</t>
        </is>
      </c>
      <c r="C53" s="4" t="inlineStr">
        <is>
          <t>I Like It</t>
        </is>
      </c>
      <c r="D53" s="5" t="n">
        <v>3274068</v>
      </c>
      <c r="E53" s="5" t="n">
        <v>1932326742</v>
      </c>
      <c r="F53" s="8">
        <f>D53/VLOOKUP(B53,Summary!$A$5:$D$25,4,FALSE)</f>
        <v/>
      </c>
    </row>
    <row r="54">
      <c r="A54" s="4" t="n">
        <v>51</v>
      </c>
      <c r="B54" s="4" t="inlineStr">
        <is>
          <t>Britney Spears</t>
        </is>
      </c>
      <c r="C54" s="4" t="inlineStr">
        <is>
          <t>Womanizer</t>
        </is>
      </c>
      <c r="D54" s="5" t="n">
        <v>3244526</v>
      </c>
      <c r="E54" s="5" t="n">
        <v>896794468</v>
      </c>
      <c r="F54" s="8">
        <f>D54/VLOOKUP(B54,Summary!$A$5:$D$25,4,FALSE)</f>
        <v/>
      </c>
    </row>
    <row r="55">
      <c r="A55" s="4" t="n">
        <v>52</v>
      </c>
      <c r="B55" s="4" t="inlineStr">
        <is>
          <t>Billie Eilish</t>
        </is>
      </c>
      <c r="C55" s="4" t="inlineStr">
        <is>
          <t>everything i wanted</t>
        </is>
      </c>
      <c r="D55" s="5" t="n">
        <v>3236988</v>
      </c>
      <c r="E55" s="5" t="n">
        <v>2138032659</v>
      </c>
      <c r="F55" s="8">
        <f>D55/VLOOKUP(B55,Summary!$A$5:$D$25,4,FALSE)</f>
        <v/>
      </c>
    </row>
    <row r="56">
      <c r="A56" s="4" t="n">
        <v>53</v>
      </c>
      <c r="B56" s="4" t="inlineStr">
        <is>
          <t>Billie Eilish</t>
        </is>
      </c>
      <c r="C56" s="4" t="inlineStr">
        <is>
          <t>bad guy</t>
        </is>
      </c>
      <c r="D56" s="5" t="n">
        <v>3236978</v>
      </c>
      <c r="E56" s="5" t="n">
        <v>2942063674</v>
      </c>
      <c r="F56" s="8">
        <f>D56/VLOOKUP(B56,Summary!$A$5:$D$25,4,FALSE)</f>
        <v/>
      </c>
    </row>
    <row r="57">
      <c r="A57" s="4" t="n">
        <v>54</v>
      </c>
      <c r="B57" s="4" t="inlineStr">
        <is>
          <t>Justin Timberlake (catch-all)</t>
        </is>
      </c>
      <c r="C57" s="4" t="inlineStr">
        <is>
          <t>What Goes Around.../...Comes Around (Interlude)</t>
        </is>
      </c>
      <c r="D57" s="5" t="n">
        <v>3103981</v>
      </c>
      <c r="E57" s="5" t="n">
        <v>628650577</v>
      </c>
      <c r="F57" s="8">
        <f>D57/VLOOKUP(B57,Summary!$A$5:$D$25,4,FALSE)</f>
        <v/>
      </c>
    </row>
    <row r="58">
      <c r="A58" s="4" t="n">
        <v>55</v>
      </c>
      <c r="B58" s="4" t="inlineStr">
        <is>
          <t>Olivia Rodrigo</t>
        </is>
      </c>
      <c r="C58" s="4" t="inlineStr">
        <is>
          <t>lacy</t>
        </is>
      </c>
      <c r="D58" s="5" t="n">
        <v>3081992</v>
      </c>
      <c r="E58" s="5" t="n">
        <v>540953043</v>
      </c>
      <c r="F58" s="8">
        <f>D58/VLOOKUP(B58,Summary!$A$5:$D$25,4,FALSE)</f>
        <v/>
      </c>
    </row>
    <row r="59">
      <c r="A59" s="4" t="n">
        <v>56</v>
      </c>
      <c r="B59" s="4" t="inlineStr">
        <is>
          <t>Cardi B</t>
        </is>
      </c>
      <c r="C59" s="4" t="inlineStr">
        <is>
          <t>Taki Taki (feat. Selena Gomez, Ozuna &amp; Cardi B)</t>
        </is>
      </c>
      <c r="D59" s="5" t="n">
        <v>3079304</v>
      </c>
      <c r="E59" s="5" t="n">
        <v>1846402960</v>
      </c>
      <c r="F59" s="8">
        <f>D59/VLOOKUP(B59,Summary!$A$5:$D$25,4,FALSE)</f>
        <v/>
      </c>
    </row>
    <row r="60">
      <c r="A60" s="4" t="n">
        <v>57</v>
      </c>
      <c r="B60" s="4" t="inlineStr">
        <is>
          <t>Justin Timberlake (catch-all)</t>
        </is>
      </c>
      <c r="C60" s="4" t="inlineStr">
        <is>
          <t>Summer Love</t>
        </is>
      </c>
      <c r="D60" s="5" t="n">
        <v>3040140</v>
      </c>
      <c r="E60" s="5" t="n">
        <v>336778329</v>
      </c>
      <c r="F60" s="8">
        <f>D60/VLOOKUP(B60,Summary!$A$5:$D$25,4,FALSE)</f>
        <v/>
      </c>
    </row>
    <row r="61">
      <c r="A61" s="4" t="n">
        <v>58</v>
      </c>
      <c r="B61" s="4" t="inlineStr">
        <is>
          <t>LISA</t>
        </is>
      </c>
      <c r="C61" s="4" t="inlineStr">
        <is>
          <t>Goals</t>
        </is>
      </c>
      <c r="D61" s="5" t="n">
        <v>2930835</v>
      </c>
      <c r="E61" s="5" t="n">
        <v>24770682</v>
      </c>
      <c r="F61" s="8">
        <f>D61/VLOOKUP(B61,Summary!$A$5:$D$25,4,FALSE)</f>
        <v/>
      </c>
    </row>
    <row r="62">
      <c r="A62" s="4" t="n">
        <v>59</v>
      </c>
      <c r="B62" s="4" t="inlineStr">
        <is>
          <t>Olivia Rodrigo</t>
        </is>
      </c>
      <c r="C62" s="4" t="inlineStr">
        <is>
          <t>jealousy, jealousy</t>
        </is>
      </c>
      <c r="D62" s="5" t="n">
        <v>2906338</v>
      </c>
      <c r="E62" s="5" t="n">
        <v>1281251152</v>
      </c>
      <c r="F62" s="8">
        <f>D62/VLOOKUP(B62,Summary!$A$5:$D$25,4,FALSE)</f>
        <v/>
      </c>
    </row>
    <row r="63">
      <c r="A63" s="4" t="n">
        <v>60</v>
      </c>
      <c r="B63" s="4" t="inlineStr">
        <is>
          <t>Justin Timberlake (catch-all)</t>
        </is>
      </c>
      <c r="C63" s="4" t="inlineStr">
        <is>
          <t>Ayo Technology</t>
        </is>
      </c>
      <c r="D63" s="5" t="n">
        <v>2869920</v>
      </c>
      <c r="E63" s="5" t="n">
        <v>476852379</v>
      </c>
      <c r="F63" s="8">
        <f>D63/VLOOKUP(B63,Summary!$A$5:$D$25,4,FALSE)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12" customWidth="1" min="3" max="3"/>
    <col width="12" customWidth="1" min="4" max="4"/>
  </cols>
  <sheetData>
    <row r="1">
      <c r="A1" s="3" t="inlineStr">
        <is>
          <t>Artist</t>
        </is>
      </c>
      <c r="B1" s="3" t="inlineStr">
        <is>
          <t>Song</t>
        </is>
      </c>
      <c r="C1" s="3" t="inlineStr">
        <is>
          <t>Milestone</t>
        </is>
      </c>
      <c r="D1" s="3" t="inlineStr">
        <is>
          <t>Reached</t>
        </is>
      </c>
    </row>
    <row r="2">
      <c r="A2" s="4" t="inlineStr">
        <is>
          <t>*NSYNC</t>
        </is>
      </c>
      <c r="B2" s="4" t="inlineStr">
        <is>
          <t>Tearin' up My Heart - Radio Edit</t>
        </is>
      </c>
      <c r="C2" s="9" t="inlineStr">
        <is>
          <t>300M</t>
        </is>
      </c>
      <c r="D2" s="4" t="inlineStr">
        <is>
          <t>2026-06-27</t>
        </is>
      </c>
    </row>
    <row r="3">
      <c r="A3" s="4" t="inlineStr">
        <is>
          <t>Olivia Rodrigo</t>
        </is>
      </c>
      <c r="B3" s="4" t="inlineStr">
        <is>
          <t>drop dead</t>
        </is>
      </c>
      <c r="C3" s="9" t="inlineStr">
        <is>
          <t>300M</t>
        </is>
      </c>
      <c r="D3" s="4" t="inlineStr">
        <is>
          <t>2026-06-27</t>
        </is>
      </c>
    </row>
    <row r="4">
      <c r="A4" s="4" t="inlineStr">
        <is>
          <t>BABYMONSTER</t>
        </is>
      </c>
      <c r="B4" s="4" t="inlineStr">
        <is>
          <t>WE GO UP</t>
        </is>
      </c>
      <c r="C4" s="9" t="inlineStr">
        <is>
          <t>100M</t>
        </is>
      </c>
      <c r="D4" s="4" t="inlineStr">
        <is>
          <t>2026-06-29</t>
        </is>
      </c>
    </row>
    <row r="5">
      <c r="A5" s="4" t="inlineStr">
        <is>
          <t>Olivia Rodrigo</t>
        </is>
      </c>
      <c r="B5" s="4" t="inlineStr">
        <is>
          <t>stupid song</t>
        </is>
      </c>
      <c r="C5" s="9" t="inlineStr">
        <is>
          <t>100M</t>
        </is>
      </c>
      <c r="D5" s="4" t="inlineStr">
        <is>
          <t>2026-06-30</t>
        </is>
      </c>
    </row>
    <row r="6">
      <c r="A6" s="4" t="inlineStr">
        <is>
          <t>Olivia Rodrigo</t>
        </is>
      </c>
      <c r="B6" s="4" t="inlineStr">
        <is>
          <t>maggots for brains</t>
        </is>
      </c>
      <c r="C6" s="9" t="inlineStr">
        <is>
          <t>50M</t>
        </is>
      </c>
      <c r="D6" s="4" t="inlineStr">
        <is>
          <t>2026-06-28</t>
        </is>
      </c>
    </row>
    <row r="7">
      <c r="A7" s="4" t="inlineStr">
        <is>
          <t>Olivia Rodrigo</t>
        </is>
      </c>
      <c r="B7" s="4" t="inlineStr">
        <is>
          <t>what’s wrong with me</t>
        </is>
      </c>
      <c r="C7" s="9" t="inlineStr">
        <is>
          <t>50M</t>
        </is>
      </c>
      <c r="D7" s="4" t="inlineStr">
        <is>
          <t>2026-06-29</t>
        </is>
      </c>
    </row>
    <row r="8">
      <c r="A8" s="4" t="inlineStr">
        <is>
          <t>Olivia Rodrigo</t>
        </is>
      </c>
      <c r="B8" s="4" t="inlineStr">
        <is>
          <t>my way</t>
        </is>
      </c>
      <c r="C8" s="9" t="inlineStr">
        <is>
          <t>50M</t>
        </is>
      </c>
      <c r="D8" s="4" t="inlineStr">
        <is>
          <t>2026-06-29</t>
        </is>
      </c>
    </row>
    <row r="9">
      <c r="A9" s="4" t="inlineStr">
        <is>
          <t>Olivia Rodrigo</t>
        </is>
      </c>
      <c r="B9" s="4" t="inlineStr">
        <is>
          <t>expectations</t>
        </is>
      </c>
      <c r="C9" s="9" t="inlineStr">
        <is>
          <t>50M</t>
        </is>
      </c>
      <c r="D9" s="4" t="inlineStr">
        <is>
          <t>2026-06-29</t>
        </is>
      </c>
    </row>
    <row r="10">
      <c r="A10" s="4" t="inlineStr">
        <is>
          <t>Olivia Rodrigo</t>
        </is>
      </c>
      <c r="B10" s="4" t="inlineStr">
        <is>
          <t>less</t>
        </is>
      </c>
      <c r="C10" s="9" t="inlineStr">
        <is>
          <t>50M</t>
        </is>
      </c>
      <c r="D10" s="4" t="inlineStr">
        <is>
          <t>2026-06-29</t>
        </is>
      </c>
    </row>
    <row r="11">
      <c r="A11" s="4" t="inlineStr">
        <is>
          <t>Olivia Rodrigo</t>
        </is>
      </c>
      <c r="B11" s="4" t="inlineStr">
        <is>
          <t>begged</t>
        </is>
      </c>
      <c r="C11" s="9" t="inlineStr">
        <is>
          <t>50M</t>
        </is>
      </c>
      <c r="D11" s="4" t="inlineStr">
        <is>
          <t>2026-06-30</t>
        </is>
      </c>
    </row>
    <row r="12">
      <c r="A12" s="4" t="inlineStr">
        <is>
          <t>Olivia Rodrigo</t>
        </is>
      </c>
      <c r="B12" s="4" t="inlineStr">
        <is>
          <t>u + me = &lt;3</t>
        </is>
      </c>
      <c r="C12" s="9" t="inlineStr">
        <is>
          <t>50M</t>
        </is>
      </c>
      <c r="D12" s="4" t="inlineStr">
        <is>
          <t>2026-06-30</t>
        </is>
      </c>
    </row>
    <row r="13">
      <c r="A13" s="4" t="inlineStr">
        <is>
          <t>BABYMONSTER</t>
        </is>
      </c>
      <c r="B13" s="4" t="inlineStr">
        <is>
          <t>CHOOM</t>
        </is>
      </c>
      <c r="C13" s="9" t="inlineStr">
        <is>
          <t>50M</t>
        </is>
      </c>
      <c r="D13" s="4" t="inlineStr">
        <is>
          <t>2026-07-01</t>
        </is>
      </c>
    </row>
    <row r="14">
      <c r="A14" s="4" t="inlineStr">
        <is>
          <t>Stray Kids</t>
        </is>
      </c>
      <c r="B14" s="4" t="inlineStr">
        <is>
          <t>Grow Up</t>
        </is>
      </c>
      <c r="C14" s="9" t="inlineStr">
        <is>
          <t>25M</t>
        </is>
      </c>
      <c r="D14" s="4" t="inlineStr">
        <is>
          <t>2026-06-25</t>
        </is>
      </c>
    </row>
    <row r="15">
      <c r="A15" s="4" t="inlineStr">
        <is>
          <t>Britney Spears</t>
        </is>
      </c>
      <c r="B15" s="4" t="inlineStr">
        <is>
          <t>Boys</t>
        </is>
      </c>
      <c r="C15" s="9" t="inlineStr">
        <is>
          <t>25M</t>
        </is>
      </c>
      <c r="D15" s="4" t="inlineStr">
        <is>
          <t>2026-06-26</t>
        </is>
      </c>
    </row>
    <row r="16">
      <c r="A16" s="4" t="inlineStr">
        <is>
          <t>Faouzia</t>
        </is>
      </c>
      <c r="B16" s="4" t="inlineStr">
        <is>
          <t>PEACE &amp; VIOLENCE</t>
        </is>
      </c>
      <c r="C16" s="9" t="inlineStr">
        <is>
          <t>10M</t>
        </is>
      </c>
      <c r="D16" s="4" t="inlineStr">
        <is>
          <t>2026-06-28</t>
        </is>
      </c>
    </row>
    <row r="17">
      <c r="A17" s="4" t="inlineStr">
        <is>
          <t>Stray Kids</t>
        </is>
      </c>
      <c r="B17" s="4" t="inlineStr">
        <is>
          <t>RUN IT</t>
        </is>
      </c>
      <c r="C17" s="9" t="inlineStr">
        <is>
          <t>10M</t>
        </is>
      </c>
      <c r="D17" s="4" t="inlineStr">
        <is>
          <t>2026-06-30</t>
        </is>
      </c>
    </row>
    <row r="18">
      <c r="A18" s="4" t="inlineStr">
        <is>
          <t>George Michael</t>
        </is>
      </c>
      <c r="B18" s="4" t="inlineStr">
        <is>
          <t>Mothers Pride - Remastered</t>
        </is>
      </c>
      <c r="C18" s="9" t="inlineStr">
        <is>
          <t>10M</t>
        </is>
      </c>
      <c r="D18" s="4" t="inlineStr">
        <is>
          <t>2026-07-01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8" customWidth="1" min="4" max="4"/>
    <col width="18" customWidth="1" min="5" max="5"/>
    <col width="95" customWidth="1" min="6" max="6"/>
  </cols>
  <sheetData>
    <row r="1">
      <c r="A1" s="1" t="inlineStr">
        <is>
          <t>Kworb Reconciliation — audit-kworb.js sweep, 2026-07-02</t>
        </is>
      </c>
    </row>
    <row r="2">
      <c r="A2" s="2" t="inlineStr">
        <is>
          <t>Source: kworb.net artist pages vs primary_artist buckets. "Recoverable" is the raw tool number; Assessment separates real gaps from tool artifacts.</t>
        </is>
      </c>
    </row>
    <row r="3">
      <c r="A3" s="3" t="inlineStr">
        <is>
          <t>Artist</t>
        </is>
      </c>
      <c r="B3" s="3" t="inlineStr">
        <is>
          <t>Kworb Total (B)</t>
        </is>
      </c>
      <c r="C3" s="3" t="inlineStr">
        <is>
          <t>Our Bucket (B)</t>
        </is>
      </c>
      <c r="D3" s="3" t="inlineStr">
        <is>
          <t>Tool "Recoverable" (M)</t>
        </is>
      </c>
      <c r="E3" s="3" t="inlineStr">
        <is>
          <t>Real Action Needed (M)</t>
        </is>
      </c>
      <c r="F3" s="3" t="inlineStr">
        <is>
          <t>Assessment</t>
        </is>
      </c>
    </row>
    <row r="4">
      <c r="A4" s="9" t="inlineStr">
        <is>
          <t>Justin Timberlake</t>
        </is>
      </c>
      <c r="B4" s="10" t="n">
        <v>18.129</v>
      </c>
      <c r="C4" s="10" t="n">
        <v>15.075</v>
      </c>
      <c r="D4" s="11" t="n">
        <v>3269.3</v>
      </c>
      <c r="E4" s="12" t="n">
        <v>1335</v>
      </c>
      <c r="F4" s="4" t="inlineStr">
        <is>
          <t>REAL: ~1.34B never scraped (4 Minutes, Ayo Technology, Signs, Love Sex Magic…) → pin albums in scraper.js extraAlbums. Other-bucket 1.9B is untracked leads already inside the dashboard catch-all — no action.</t>
        </is>
      </c>
    </row>
    <row r="5">
      <c r="A5" s="9" t="inlineStr">
        <is>
          <t>*NSYNC</t>
        </is>
      </c>
      <c r="B5" s="10" t="n">
        <v>3.82</v>
      </c>
      <c r="C5" s="10" t="n">
        <v>3.677</v>
      </c>
      <c r="D5" s="11" t="n">
        <v>156</v>
      </c>
      <c r="E5" s="12" t="n">
        <v>143</v>
      </c>
      <c r="F5" s="4" t="inlineStr">
        <is>
          <t>REAL: Better Place 130M sits in JT bucket → NSYNC_EXTRA_TRACK_IDS; Paradise (feat. *NSYNC) 13M never scraped → extraAlbums.</t>
        </is>
      </c>
    </row>
    <row r="6">
      <c r="A6" s="4" t="inlineStr">
        <is>
          <t>Bebe Rexha</t>
        </is>
      </c>
      <c r="B6" s="10" t="n">
        <v>17.355</v>
      </c>
      <c r="C6" s="10" t="n">
        <v>17.443</v>
      </c>
      <c r="D6" s="11" t="n">
        <v>45.1</v>
      </c>
      <c r="E6" s="11" t="n">
        <v>45</v>
      </c>
      <c r="F6" s="4" t="inlineStr">
        <is>
          <t>Small: obscure DJ mixes/continuous-mix editions, ~45M. Optional.</t>
        </is>
      </c>
    </row>
    <row r="7">
      <c r="A7" s="4" t="inlineStr">
        <is>
          <t>Taylor Swift</t>
        </is>
      </c>
      <c r="B7" s="10" t="n">
        <v>127.075</v>
      </c>
      <c r="C7" s="10" t="n">
        <v>128.672</v>
      </c>
      <c r="D7" s="11" t="n">
        <v>25.5</v>
      </c>
      <c r="E7" s="11" t="n">
        <v>25</v>
      </c>
      <c r="F7" s="4" t="inlineStr">
        <is>
          <t>Small: karaoke versions + 3D Concert film cut, ~25M. Optional (album-only artist).</t>
        </is>
      </c>
    </row>
    <row r="8">
      <c r="A8" s="4" t="inlineStr">
        <is>
          <t>Dove Cameron</t>
        </is>
      </c>
      <c r="B8" s="10" t="n">
        <v>3.326</v>
      </c>
      <c r="C8" s="10" t="n">
        <v>3.376</v>
      </c>
      <c r="D8" s="11" t="n">
        <v>23.9</v>
      </c>
      <c r="E8" s="11" t="n">
        <v>24</v>
      </c>
      <c r="F8" s="4" t="inlineStr">
        <is>
          <t>Small: Cloud 9 TV-soundtrack single 22M. Optional.</t>
        </is>
      </c>
    </row>
    <row r="9">
      <c r="A9" s="4" t="inlineStr">
        <is>
          <t>George Michael</t>
        </is>
      </c>
      <c r="B9" s="10" t="n">
        <v>5.305</v>
      </c>
      <c r="C9" s="10" t="n">
        <v>5.305</v>
      </c>
      <c r="D9" s="11" t="n">
        <v>14.5</v>
      </c>
      <c r="E9" s="11" t="n">
        <v>15</v>
      </c>
      <c r="F9" s="4" t="inlineStr">
        <is>
          <t>Small; totals already match kworb.</t>
        </is>
      </c>
    </row>
    <row r="10">
      <c r="A10" s="4" t="inlineStr">
        <is>
          <t>Stray Kids</t>
        </is>
      </c>
      <c r="B10" s="10" t="n">
        <v>14.804</v>
      </c>
      <c r="C10" s="10" t="n">
        <v>14.87</v>
      </c>
      <c r="D10" s="11" t="n">
        <v>11.2</v>
      </c>
      <c r="E10" s="11" t="n">
        <v>11</v>
      </c>
      <c r="F10" s="4" t="inlineStr">
        <is>
          <t>Small; we are above kworb already.</t>
        </is>
      </c>
    </row>
    <row r="11">
      <c r="A11" s="4" t="inlineStr">
        <is>
          <t>Janet Jackson</t>
        </is>
      </c>
      <c r="B11" s="10" t="n">
        <v>2.22</v>
      </c>
      <c r="C11" s="10" t="n">
        <v>2.215</v>
      </c>
      <c r="D11" s="11" t="n">
        <v>10.1</v>
      </c>
      <c r="E11" s="11" t="n">
        <v>10</v>
      </c>
      <c r="F11" s="4" t="inlineStr">
        <is>
          <t>Small.</t>
        </is>
      </c>
    </row>
    <row r="12">
      <c r="A12" s="4" t="inlineStr">
        <is>
          <t>Cardi B</t>
        </is>
      </c>
      <c r="B12" s="10" t="n">
        <v>22.447</v>
      </c>
      <c r="C12" s="10" t="n">
        <v>21.603</v>
      </c>
      <c r="D12" s="11" t="n">
        <v>856.9</v>
      </c>
      <c r="E12" s="11" t="n">
        <v>0</v>
      </c>
      <c r="F12" s="4" t="inlineStr">
        <is>
          <t>COVERED: the 857M = CARDI_EXTRA_TRACK_IDS already live in server.js (MotorSport, Girls…). Tool sees raw bucket only.</t>
        </is>
      </c>
    </row>
    <row r="13">
      <c r="A13" s="4" t="inlineStr">
        <is>
          <t>Felix</t>
        </is>
      </c>
      <c r="B13" s="10" t="n">
        <v>0.296</v>
      </c>
      <c r="C13" s="10" t="n">
        <v>0.187</v>
      </c>
      <c r="D13" s="11" t="n">
        <v>112.7</v>
      </c>
      <c r="E13" s="11" t="n">
        <v>0</v>
      </c>
      <c r="F13" s="4" t="inlineStr">
        <is>
          <t>COVERED: FELIX_EXTRA_TRACK_IDS already live in server.js.</t>
        </is>
      </c>
    </row>
    <row r="14">
      <c r="A14" s="4" t="inlineStr">
        <is>
          <t>Zara Larsson</t>
        </is>
      </c>
      <c r="B14" s="10" t="n">
        <v>14.063</v>
      </c>
      <c r="C14" s="10" t="n">
        <v>14.001</v>
      </c>
      <c r="D14" s="11" t="n">
        <v>694.5</v>
      </c>
      <c r="E14" s="11" t="n">
        <v>0</v>
      </c>
      <c r="F14" s="4" t="inlineStr">
        <is>
          <t>FALSE POSITIVE: This One's for You 605M already tracked under a different edition id (peak matches 605.4M). Rest ≈75M tiny remixes, deliberately skipped.</t>
        </is>
      </c>
    </row>
    <row r="15">
      <c r="A15" s="4" t="inlineStr">
        <is>
          <t>Lady Gaga</t>
        </is>
      </c>
      <c r="B15" s="10" t="n">
        <v>37.316</v>
      </c>
      <c r="C15" s="10" t="n">
        <v>16.978</v>
      </c>
      <c r="D15" s="11" t="n">
        <v>20338.7</v>
      </c>
      <c r="E15" s="11" t="n">
        <v>0</v>
      </c>
      <c r="F15" s="4" t="inlineStr">
        <is>
          <t>DELIBERATE: album-only curation (Fame Monster + Mayhem etc.), kworb full catalog not in scope.</t>
        </is>
      </c>
    </row>
    <row r="16">
      <c r="A16" s="4" t="inlineStr">
        <is>
          <t>Nicki Minaj</t>
        </is>
      </c>
      <c r="B16" s="10" t="n">
        <v>43.143</v>
      </c>
      <c r="C16" s="10" t="n">
        <v>36.174</v>
      </c>
      <c r="D16" s="11" t="n">
        <v>6931.9</v>
      </c>
      <c r="E16" s="11" t="n">
        <v>0</v>
      </c>
      <c r="F16" s="4" t="inlineStr">
        <is>
          <t>DELIBERATE: album_only → appears-on/feature gap is intentional.</t>
        </is>
      </c>
    </row>
    <row r="17">
      <c r="A17" s="4" t="inlineStr">
        <is>
          <t>Olivia Rodrigo</t>
        </is>
      </c>
      <c r="B17" s="10" t="n">
        <v>28.191</v>
      </c>
      <c r="C17" s="10" t="n">
        <v>28.191</v>
      </c>
      <c r="D17" s="11" t="n">
        <v>0</v>
      </c>
      <c r="E17" s="11" t="n">
        <v>0</v>
      </c>
      <c r="F17" s="4" t="inlineStr">
        <is>
          <t>Perfect match.</t>
        </is>
      </c>
    </row>
    <row r="18">
      <c r="A18" s="4" t="inlineStr">
        <is>
          <t>Billie Eilish</t>
        </is>
      </c>
      <c r="B18" s="10" t="n">
        <v>57.751</v>
      </c>
      <c r="C18" s="10" t="n">
        <v>57.751</v>
      </c>
      <c r="D18" s="11" t="n">
        <v>0.1</v>
      </c>
      <c r="E18" s="11" t="n">
        <v>0</v>
      </c>
      <c r="F18" s="4" t="inlineStr">
        <is>
          <t>Perfect match.</t>
        </is>
      </c>
    </row>
    <row r="19">
      <c r="A19" s="4" t="inlineStr">
        <is>
          <t>Melanie Martinez</t>
        </is>
      </c>
      <c r="B19" s="10" t="n">
        <v>11.561</v>
      </c>
      <c r="C19" s="10" t="n">
        <v>11.56</v>
      </c>
      <c r="D19" s="11" t="n">
        <v>0</v>
      </c>
      <c r="E19" s="11" t="n">
        <v>0</v>
      </c>
      <c r="F19" s="4" t="inlineStr">
        <is>
          <t>Perfect match.</t>
        </is>
      </c>
    </row>
    <row r="20">
      <c r="A20" s="4" t="inlineStr">
        <is>
          <t>LISA</t>
        </is>
      </c>
      <c r="B20" s="10" t="n">
        <v>5.322</v>
      </c>
      <c r="C20" s="10" t="n">
        <v>5.325</v>
      </c>
      <c r="D20" s="11" t="n">
        <v>0</v>
      </c>
      <c r="E20" s="11" t="n">
        <v>0</v>
      </c>
      <c r="F20" s="4" t="inlineStr">
        <is>
          <t>Perfect match.</t>
        </is>
      </c>
    </row>
    <row r="21">
      <c r="A21" s="4" t="inlineStr">
        <is>
          <t>Britney Spears</t>
        </is>
      </c>
      <c r="B21" s="10" t="n">
        <v>16.021</v>
      </c>
      <c r="C21" s="10" t="n">
        <v>16.031</v>
      </c>
      <c r="D21" s="11" t="n">
        <v>0</v>
      </c>
      <c r="E21" s="11" t="n">
        <v>0</v>
      </c>
      <c r="F21" s="4" t="inlineStr">
        <is>
          <t>Perfect match.</t>
        </is>
      </c>
    </row>
    <row r="22">
      <c r="A22" s="4" t="inlineStr">
        <is>
          <t>cupcakke</t>
        </is>
      </c>
      <c r="B22" s="10" t="n">
        <v>0.74</v>
      </c>
      <c r="C22" s="10" t="n">
        <v>0.747</v>
      </c>
      <c r="D22" s="11" t="n">
        <v>0</v>
      </c>
      <c r="E22" s="11" t="n">
        <v>0</v>
      </c>
      <c r="F22" s="4" t="inlineStr">
        <is>
          <t>Perfect match.</t>
        </is>
      </c>
    </row>
    <row r="23">
      <c r="A23" s="4" t="inlineStr">
        <is>
          <t>Faouzia</t>
        </is>
      </c>
      <c r="B23" s="10" t="n">
        <v>1.143</v>
      </c>
      <c r="C23" s="10" t="n">
        <v>1.224</v>
      </c>
      <c r="D23" s="11" t="n">
        <v>0</v>
      </c>
      <c r="E23" s="11" t="n">
        <v>0</v>
      </c>
      <c r="F23" s="4" t="inlineStr">
        <is>
          <t>We are 81M above kworb (edition folding on their side).</t>
        </is>
      </c>
    </row>
    <row r="24">
      <c r="A24" s="4" t="inlineStr">
        <is>
          <t>Christina Aguilera</t>
        </is>
      </c>
      <c r="B24" s="10" t="n">
        <v>10.987</v>
      </c>
      <c r="C24" s="10" t="n">
        <v>11.085</v>
      </c>
      <c r="D24" s="11" t="n">
        <v>1.2</v>
      </c>
      <c r="E24" s="11" t="n">
        <v>0</v>
      </c>
      <c r="F24" s="4" t="inlineStr">
        <is>
          <t>Match (we are above kworb).</t>
        </is>
      </c>
    </row>
    <row r="25">
      <c r="A25" s="4" t="inlineStr">
        <is>
          <t>BABYMONSTER</t>
        </is>
      </c>
      <c r="B25" s="10" t="n">
        <v>2.43</v>
      </c>
      <c r="C25" s="10" t="n">
        <v>2.436</v>
      </c>
      <c r="D25" s="11" t="n">
        <v>1.5</v>
      </c>
      <c r="E25" s="11" t="n">
        <v>0</v>
      </c>
      <c r="F25" s="4" t="inlineStr">
        <is>
          <t>Match.</t>
        </is>
      </c>
    </row>
    <row r="26">
      <c r="A26" s="4" t="inlineStr">
        <is>
          <t>JC Chasez / Vaelis / Utopic</t>
        </is>
      </c>
      <c r="B26" s="10" t="n"/>
      <c r="C26" s="10" t="n"/>
      <c r="D26" s="11" t="n"/>
      <c r="E26" s="11" t="n">
        <v>0</v>
      </c>
      <c r="F26" s="4" t="inlineStr">
        <is>
          <t>No kworb page (404) — too small for kworb.</t>
        </is>
      </c>
    </row>
    <row r="28">
      <c r="A28" s="2" t="inlineStr">
        <is>
          <t>Actionable total (REAL rows): ~1.48B, dominated by JT missing features. Fix path: resolve album ids (audit-kworb.js without --no-resolve), add to scraper.js extraAlbums + server.js EXTRA_TRACK_IDS, run a scrape.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2026-07-01T22:14:17Z</dcterms:created>
  <dcterms:modified xsi:type="dcterms:W3CDTF">2026-07-01T22:14:17Z</dcterms:modified>
</cp:coreProperties>
</file>